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ção" sheetId="1" state="visible" r:id="rId3"/>
    <sheet name="Modelo inicial" sheetId="2" state="visible" r:id="rId4"/>
    <sheet name="Modelo melhorad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<sst xmlns="http://schemas.openxmlformats.org/spreadsheetml/2006/main" count="158" uniqueCount="35">
  <si>
    <t xml:space="preserve">Comparação: modelo inicial x modelo melhorado (Q2: 2→3 servidores e capacidade 8→10)</t>
  </si>
  <si>
    <t xml:space="preserve">Fila</t>
  </si>
  <si>
    <t xml:space="preserve">Índice</t>
  </si>
  <si>
    <t xml:space="preserve">Inicial</t>
  </si>
  <si>
    <t xml:space="preserve">Melhorado</t>
  </si>
  <si>
    <t xml:space="preserve">Variação</t>
  </si>
  <si>
    <t xml:space="preserve">Q1 - Recepção/Triagem</t>
  </si>
  <si>
    <t xml:space="preserve">População N</t>
  </si>
  <si>
    <t xml:space="preserve">Vazão X (cl/min)</t>
  </si>
  <si>
    <t xml:space="preserve">Utilização U</t>
  </si>
  <si>
    <t xml:space="preserve">Tempo de resposta R (min)</t>
  </si>
  <si>
    <t xml:space="preserve">Perdas de clientes</t>
  </si>
  <si>
    <t xml:space="preserve">Q2 - Bancada de reparo</t>
  </si>
  <si>
    <t xml:space="preserve">Q3 - Teste de qualidade</t>
  </si>
  <si>
    <t xml:space="preserve">Tempo global da simulação</t>
  </si>
  <si>
    <t xml:space="preserve">Verde = valores vindos das outras abas. Mesma semente (1) e 100.000 aleatórios nos dois cenários.</t>
  </si>
  <si>
    <t xml:space="preserve">Índices de desempenho - Modelo inicial (semente 1, 100.000 aleatórios)</t>
  </si>
  <si>
    <t xml:space="preserve">Células em azul = dados vindos do simulador (resultado_*.txt). Demais células = fórmulas (M9: N=Σn·π; X=Σmin(n,c)·μ·π; U=Σmin(n,c)·π/c; R=N/X; μ=1/tempo médio de atendimento).</t>
  </si>
  <si>
    <t xml:space="preserve">Servidores (c)</t>
  </si>
  <si>
    <t xml:space="preserve">Capacidade (K)</t>
  </si>
  <si>
    <t xml:space="preserve">Atend. mínimo</t>
  </si>
  <si>
    <t xml:space="preserve">Atend. máximo</t>
  </si>
  <si>
    <t xml:space="preserve">Tempo médio de atendimento</t>
  </si>
  <si>
    <t xml:space="preserve">Taxa de atendimento μ = 1/tempo médio</t>
  </si>
  <si>
    <t xml:space="preserve">Estado n</t>
  </si>
  <si>
    <t xml:space="preserve">Tempo acumulado</t>
  </si>
  <si>
    <t xml:space="preserve">π(n)</t>
  </si>
  <si>
    <t xml:space="preserve">min(n,c)</t>
  </si>
  <si>
    <t xml:space="preserve">n·π(n)</t>
  </si>
  <si>
    <t xml:space="preserve">min(n,c)·π(n)</t>
  </si>
  <si>
    <t xml:space="preserve">Total</t>
  </si>
  <si>
    <t xml:space="preserve">População média N</t>
  </si>
  <si>
    <t xml:space="preserve">Vazão X (clientes/min)</t>
  </si>
  <si>
    <t xml:space="preserve">Tempo de resposta R = N/X (min)</t>
  </si>
  <si>
    <t xml:space="preserve">Índices de desempenho - Modelo melhorado (semente 1, 100.000 aleatórios)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</si>
</sst>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"/>
    <numFmt numFmtId="166" formatCode="\+0.0%;\-0.0%;0.0%"/>
    <numFmt numFmtId="167" formatCode="0.0000"/>
    <numFmt numFmtId="168" formatCode="0.0%"/>
    <numFmt numFmtId="169" formatCode="0.00"/>
    <numFmt numFmtId="170" formatCode="#,##0"/>
    <numFmt numFmtId="171" formatCode="#,##0.0"/>
    <numFmt numFmtId="172" formatCode="#,##0.0000"/>
    <numFmt numFmtId="173" formatCode="0.000000"/>
    <numFmt numFmtId="174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C49"/>
        <bgColor rgb="FF333333"/>
      </patternFill>
    </fill>
    <fill>
      <patternFill patternType="solid">
        <fgColor rgb="FFE3EEF0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4" t="n">
        <f aca="false">'Modelo inicial'!B19</f>
        <v>0.765630758744469</v>
      </c>
      <c r="D4" s="4" t="n">
        <f aca="false">'Modelo melhorado'!B19</f>
        <v>0.760115615041951</v>
      </c>
      <c r="E4" s="5" t="n">
        <f aca="false">IF(C4=0,0,(D4-C4)/C4)</f>
        <v>-0.00720339881793937</v>
      </c>
    </row>
    <row r="5" customFormat="false" ht="15" hidden="false" customHeight="false" outlineLevel="0" collapsed="false">
      <c r="A5" s="3" t="s">
        <v>6</v>
      </c>
      <c r="B5" s="3" t="s">
        <v>8</v>
      </c>
      <c r="C5" s="6" t="n">
        <f aca="false">'Modelo inicial'!B20</f>
        <v>0.250516300350715</v>
      </c>
      <c r="D5" s="6" t="n">
        <f aca="false">'Modelo melhorado'!B20</f>
        <v>0.249287084017075</v>
      </c>
      <c r="E5" s="5" t="n">
        <f aca="false">IF(C5=0,0,(D5-C5)/C5)</f>
        <v>-0.00490673194486217</v>
      </c>
    </row>
    <row r="6" customFormat="false" ht="15" hidden="false" customHeight="false" outlineLevel="0" collapsed="false">
      <c r="A6" s="3" t="s">
        <v>6</v>
      </c>
      <c r="B6" s="3" t="s">
        <v>9</v>
      </c>
      <c r="C6" s="7" t="n">
        <f aca="false">'Modelo inicial'!B21</f>
        <v>0.751548901052144</v>
      </c>
      <c r="D6" s="7" t="n">
        <f aca="false">'Modelo melhorado'!B21</f>
        <v>0.747861252051226</v>
      </c>
      <c r="E6" s="5" t="n">
        <f aca="false">IF(C6=0,0,(D6-C6)/C6)</f>
        <v>-0.00490673194486224</v>
      </c>
    </row>
    <row r="7" customFormat="false" ht="15" hidden="false" customHeight="false" outlineLevel="0" collapsed="false">
      <c r="A7" s="3" t="s">
        <v>6</v>
      </c>
      <c r="B7" s="3" t="s">
        <v>10</v>
      </c>
      <c r="C7" s="8" t="n">
        <f aca="false">'Modelo inicial'!B22</f>
        <v>3.05621134302483</v>
      </c>
      <c r="D7" s="8" t="n">
        <f aca="false">'Modelo melhorado'!B22</f>
        <v>3.04915763301193</v>
      </c>
      <c r="E7" s="5" t="n">
        <f aca="false">IF(C7=0,0,(D7-C7)/C7)</f>
        <v>-0.0023079915690374</v>
      </c>
    </row>
    <row r="8" customFormat="false" ht="15" hidden="false" customHeight="false" outlineLevel="0" collapsed="false">
      <c r="A8" s="3" t="s">
        <v>6</v>
      </c>
      <c r="B8" s="3" t="s">
        <v>11</v>
      </c>
      <c r="C8" s="9" t="n">
        <f aca="false">'Modelo inicial'!B18</f>
        <v>0</v>
      </c>
      <c r="D8" s="9" t="n">
        <f aca="false">'Modelo melhorado'!B18</f>
        <v>0</v>
      </c>
      <c r="E8" s="5" t="n">
        <f aca="false">IF(C8=0,0,(D8-C8)/C8)</f>
        <v>0</v>
      </c>
    </row>
    <row r="9" customFormat="false" ht="15" hidden="false" customHeight="false" outlineLevel="0" collapsed="false">
      <c r="A9" s="3" t="s">
        <v>12</v>
      </c>
      <c r="B9" s="3" t="s">
        <v>7</v>
      </c>
      <c r="C9" s="4" t="n">
        <f aca="false">'Modelo inicial'!B45</f>
        <v>7.14129412397768</v>
      </c>
      <c r="D9" s="4" t="n">
        <f aca="false">'Modelo melhorado'!B47</f>
        <v>4.64028576290663</v>
      </c>
      <c r="E9" s="5" t="n">
        <f aca="false">IF(C9=0,0,(D9-C9)/C9)</f>
        <v>-0.350217806135956</v>
      </c>
    </row>
    <row r="10" customFormat="false" ht="15" hidden="false" customHeight="false" outlineLevel="0" collapsed="false">
      <c r="A10" s="3" t="s">
        <v>12</v>
      </c>
      <c r="B10" s="3" t="s">
        <v>8</v>
      </c>
      <c r="C10" s="6" t="n">
        <f aca="false">'Modelo inicial'!B46</f>
        <v>0.16663538439878</v>
      </c>
      <c r="D10" s="6" t="n">
        <f aca="false">'Modelo melhorado'!B48</f>
        <v>0.232640125292358</v>
      </c>
      <c r="E10" s="5" t="n">
        <f aca="false">IF(C10=0,0,(D10-C10)/C10)</f>
        <v>0.396102791323244</v>
      </c>
    </row>
    <row r="11" customFormat="false" ht="15" hidden="false" customHeight="false" outlineLevel="0" collapsed="false">
      <c r="A11" s="3" t="s">
        <v>12</v>
      </c>
      <c r="B11" s="3" t="s">
        <v>9</v>
      </c>
      <c r="C11" s="7" t="n">
        <f aca="false">'Modelo inicial'!B47</f>
        <v>0.999812306392678</v>
      </c>
      <c r="D11" s="7" t="n">
        <f aca="false">'Modelo melhorado'!B49</f>
        <v>0.930560501169432</v>
      </c>
      <c r="E11" s="5" t="n">
        <f aca="false">IF(C11=0,0,(D11-C11)/C11)</f>
        <v>-0.0692648057845039</v>
      </c>
    </row>
    <row r="12" customFormat="false" ht="15" hidden="false" customHeight="false" outlineLevel="0" collapsed="false">
      <c r="A12" s="3" t="s">
        <v>12</v>
      </c>
      <c r="B12" s="3" t="s">
        <v>10</v>
      </c>
      <c r="C12" s="8" t="n">
        <f aca="false">'Modelo inicial'!B48</f>
        <v>42.8558085051591</v>
      </c>
      <c r="D12" s="8" t="n">
        <f aca="false">'Modelo melhorado'!B50</f>
        <v>19.946196973008</v>
      </c>
      <c r="E12" s="5" t="n">
        <f aca="false">IF(C12=0,0,(D12-C12)/C12)</f>
        <v>-0.534574246321668</v>
      </c>
    </row>
    <row r="13" customFormat="false" ht="15" hidden="false" customHeight="false" outlineLevel="0" collapsed="false">
      <c r="A13" s="3" t="s">
        <v>12</v>
      </c>
      <c r="B13" s="3" t="s">
        <v>11</v>
      </c>
      <c r="C13" s="9" t="n">
        <f aca="false">'Modelo inicial'!B44</f>
        <v>4059</v>
      </c>
      <c r="D13" s="9" t="n">
        <f aca="false">'Modelo melhorado'!B46</f>
        <v>121</v>
      </c>
      <c r="E13" s="5" t="n">
        <f aca="false">IF(C13=0,0,(D13-C13)/C13)</f>
        <v>-0.970189701897019</v>
      </c>
    </row>
    <row r="14" customFormat="false" ht="15" hidden="false" customHeight="false" outlineLevel="0" collapsed="false">
      <c r="A14" s="3" t="s">
        <v>13</v>
      </c>
      <c r="B14" s="3" t="s">
        <v>7</v>
      </c>
      <c r="C14" s="4" t="n">
        <f aca="false">'Modelo inicial'!B69</f>
        <v>1.11656143178629</v>
      </c>
      <c r="D14" s="4" t="n">
        <f aca="false">'Modelo melhorado'!B71</f>
        <v>3.0290205105524</v>
      </c>
      <c r="E14" s="5" t="n">
        <f aca="false">IF(C14=0,0,(D14-C14)/C14)</f>
        <v>1.71281133695128</v>
      </c>
    </row>
    <row r="15" customFormat="false" ht="15" hidden="false" customHeight="false" outlineLevel="0" collapsed="false">
      <c r="A15" s="3" t="s">
        <v>13</v>
      </c>
      <c r="B15" s="3" t="s">
        <v>8</v>
      </c>
      <c r="C15" s="6" t="n">
        <f aca="false">'Modelo inicial'!B70</f>
        <v>0.18820024726428</v>
      </c>
      <c r="D15" s="6" t="n">
        <f aca="false">'Modelo melhorado'!B72</f>
        <v>0.240714982560017</v>
      </c>
      <c r="E15" s="5" t="n">
        <f aca="false">IF(C15=0,0,(D15-C15)/C15)</f>
        <v>0.279036484059409</v>
      </c>
    </row>
    <row r="16" customFormat="false" ht="15" hidden="false" customHeight="false" outlineLevel="0" collapsed="false">
      <c r="A16" s="3" t="s">
        <v>13</v>
      </c>
      <c r="B16" s="3" t="s">
        <v>9</v>
      </c>
      <c r="C16" s="7" t="n">
        <f aca="false">'Modelo inicial'!B71</f>
        <v>0.752800989057122</v>
      </c>
      <c r="D16" s="7" t="n">
        <f aca="false">'Modelo melhorado'!B73</f>
        <v>0.962859930240067</v>
      </c>
      <c r="E16" s="5" t="n">
        <f aca="false">IF(C16=0,0,(D16-C16)/C16)</f>
        <v>0.279036484059409</v>
      </c>
    </row>
    <row r="17" customFormat="false" ht="15" hidden="false" customHeight="false" outlineLevel="0" collapsed="false">
      <c r="A17" s="3" t="s">
        <v>13</v>
      </c>
      <c r="B17" s="3" t="s">
        <v>10</v>
      </c>
      <c r="C17" s="8" t="n">
        <f aca="false">'Modelo inicial'!B72</f>
        <v>5.93283722001894</v>
      </c>
      <c r="D17" s="8" t="n">
        <f aca="false">'Modelo melhorado'!B74</f>
        <v>12.5834315684824</v>
      </c>
      <c r="E17" s="5" t="n">
        <f aca="false">IF(C17=0,0,(D17-C17)/C17)</f>
        <v>1.12098041827654</v>
      </c>
    </row>
    <row r="18" customFormat="false" ht="15" hidden="false" customHeight="false" outlineLevel="0" collapsed="false">
      <c r="A18" s="3" t="s">
        <v>13</v>
      </c>
      <c r="B18" s="3" t="s">
        <v>11</v>
      </c>
      <c r="C18" s="9" t="n">
        <f aca="false">'Modelo inicial'!B68</f>
        <v>0</v>
      </c>
      <c r="D18" s="9" t="n">
        <f aca="false">'Modelo melhorado'!B70</f>
        <v>331</v>
      </c>
      <c r="E18" s="5" t="n">
        <f aca="false">IF(C18=0,0,(D18-C18)/C18)</f>
        <v>0</v>
      </c>
    </row>
    <row r="19" customFormat="false" ht="15" hidden="false" customHeight="false" outlineLevel="0" collapsed="false">
      <c r="A19" s="10" t="s">
        <v>14</v>
      </c>
      <c r="C19" s="11" t="n">
        <f aca="false">'Modelo inicial'!B3</f>
        <v>68449.7039060653</v>
      </c>
      <c r="D19" s="11" t="n">
        <f aca="false">'Modelo melhorado'!B3</f>
        <v>58884.0257682844</v>
      </c>
    </row>
    <row r="21" customFormat="false" ht="15" hidden="false" customHeight="false" outlineLevel="0" collapsed="false">
      <c r="A21" s="1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8"/>
  </cols>
  <sheetData>
    <row r="1" customFormat="false" ht="16.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12" t="s">
        <v>17</v>
      </c>
    </row>
    <row r="3" customFormat="false" ht="15" hidden="false" customHeight="false" outlineLevel="0" collapsed="false">
      <c r="A3" s="10" t="s">
        <v>14</v>
      </c>
      <c r="B3" s="13" t="n">
        <v>68449.7039060653</v>
      </c>
    </row>
    <row r="5" customFormat="false" ht="15" hidden="false" customHeight="false" outlineLevel="0" collapsed="false">
      <c r="A5" s="2" t="s">
        <v>6</v>
      </c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3" t="s">
        <v>18</v>
      </c>
      <c r="B6" s="15" t="n">
        <v>1</v>
      </c>
    </row>
    <row r="7" customFormat="false" ht="15" hidden="false" customHeight="false" outlineLevel="0" collapsed="false">
      <c r="A7" s="3" t="s">
        <v>19</v>
      </c>
      <c r="B7" s="15" t="n">
        <v>10</v>
      </c>
    </row>
    <row r="8" customFormat="false" ht="15" hidden="false" customHeight="false" outlineLevel="0" collapsed="false">
      <c r="A8" s="3" t="s">
        <v>20</v>
      </c>
      <c r="B8" s="15" t="n">
        <v>2</v>
      </c>
    </row>
    <row r="9" customFormat="false" ht="15" hidden="false" customHeight="false" outlineLevel="0" collapsed="false">
      <c r="A9" s="3" t="s">
        <v>21</v>
      </c>
      <c r="B9" s="15" t="n">
        <v>4</v>
      </c>
    </row>
    <row r="10" customFormat="false" ht="15" hidden="false" customHeight="false" outlineLevel="0" collapsed="false">
      <c r="A10" s="3" t="s">
        <v>22</v>
      </c>
      <c r="B10" s="3" t="n">
        <f aca="false">($B$8+$B$9)/2</f>
        <v>3</v>
      </c>
    </row>
    <row r="11" customFormat="false" ht="15" hidden="false" customHeight="false" outlineLevel="0" collapsed="false">
      <c r="A11" s="3" t="s">
        <v>23</v>
      </c>
      <c r="B11" s="16" t="n">
        <f aca="false">1/B10</f>
        <v>0.333333333333333</v>
      </c>
    </row>
    <row r="13" customFormat="false" ht="26.85" hidden="false" customHeight="false" outlineLevel="0" collapsed="false">
      <c r="A13" s="17" t="s">
        <v>24</v>
      </c>
      <c r="B13" s="17" t="s">
        <v>25</v>
      </c>
      <c r="C13" s="17" t="s">
        <v>26</v>
      </c>
      <c r="D13" s="17" t="s">
        <v>27</v>
      </c>
      <c r="E13" s="17" t="s">
        <v>28</v>
      </c>
      <c r="F13" s="17" t="s">
        <v>29</v>
      </c>
    </row>
    <row r="14" customFormat="false" ht="15" hidden="false" customHeight="false" outlineLevel="0" collapsed="false">
      <c r="A14" s="3" t="n">
        <v>0</v>
      </c>
      <c r="B14" s="13" t="n">
        <v>17006.4041581173</v>
      </c>
      <c r="C14" s="18" t="n">
        <f aca="false">B14/SUM($B$14:$B$16)</f>
        <v>0.248451098947856</v>
      </c>
      <c r="D14" s="3" t="n">
        <f aca="false">MIN(A14,$B$6)</f>
        <v>0</v>
      </c>
      <c r="E14" s="19" t="n">
        <f aca="false">A14*C14</f>
        <v>0</v>
      </c>
      <c r="F14" s="19" t="n">
        <f aca="false">D14*C14</f>
        <v>0</v>
      </c>
    </row>
    <row r="15" customFormat="false" ht="15" hidden="false" customHeight="false" outlineLevel="0" collapsed="false">
      <c r="A15" s="3" t="n">
        <v>1</v>
      </c>
      <c r="B15" s="13" t="n">
        <v>50479.400758461</v>
      </c>
      <c r="C15" s="18" t="n">
        <f aca="false">B15/SUM($B$14:$B$16)</f>
        <v>0.73746704335982</v>
      </c>
      <c r="D15" s="3" t="n">
        <f aca="false">MIN(A15,$B$6)</f>
        <v>1</v>
      </c>
      <c r="E15" s="19" t="n">
        <f aca="false">A15*C15</f>
        <v>0.73746704335982</v>
      </c>
      <c r="F15" s="19" t="n">
        <f aca="false">D15*C15</f>
        <v>0.73746704335982</v>
      </c>
    </row>
    <row r="16" customFormat="false" ht="15" hidden="false" customHeight="false" outlineLevel="0" collapsed="false">
      <c r="A16" s="3" t="n">
        <v>2</v>
      </c>
      <c r="B16" s="13" t="n">
        <v>963.898989486966</v>
      </c>
      <c r="C16" s="18" t="n">
        <f aca="false">B16/SUM($B$14:$B$16)</f>
        <v>0.0140818576923246</v>
      </c>
      <c r="D16" s="3" t="n">
        <f aca="false">MIN(A16,$B$6)</f>
        <v>1</v>
      </c>
      <c r="E16" s="19" t="n">
        <f aca="false">A16*C16</f>
        <v>0.0281637153846492</v>
      </c>
      <c r="F16" s="19" t="n">
        <f aca="false">D16*C16</f>
        <v>0.0140818576923246</v>
      </c>
    </row>
    <row r="17" customFormat="false" ht="15" hidden="false" customHeight="false" outlineLevel="0" collapsed="false">
      <c r="A17" s="10" t="s">
        <v>30</v>
      </c>
      <c r="B17" s="20" t="n">
        <f aca="false">SUM(B14:B16)</f>
        <v>68449.7039060653</v>
      </c>
      <c r="C17" s="21" t="n">
        <f aca="false">SUM(C14:C16)</f>
        <v>1</v>
      </c>
    </row>
    <row r="18" customFormat="false" ht="15" hidden="false" customHeight="false" outlineLevel="0" collapsed="false">
      <c r="A18" s="10" t="s">
        <v>11</v>
      </c>
      <c r="B18" s="15" t="n">
        <v>0</v>
      </c>
    </row>
    <row r="19" customFormat="false" ht="15" hidden="false" customHeight="false" outlineLevel="0" collapsed="false">
      <c r="A19" s="10" t="s">
        <v>31</v>
      </c>
      <c r="B19" s="22" t="n">
        <f aca="false">SUM(E14:E16)</f>
        <v>0.765630758744469</v>
      </c>
    </row>
    <row r="20" customFormat="false" ht="15" hidden="false" customHeight="false" outlineLevel="0" collapsed="false">
      <c r="A20" s="10" t="s">
        <v>32</v>
      </c>
      <c r="B20" s="23" t="n">
        <f aca="false">B11*SUM(F14:F16)</f>
        <v>0.250516300350715</v>
      </c>
    </row>
    <row r="21" customFormat="false" ht="15" hidden="false" customHeight="false" outlineLevel="0" collapsed="false">
      <c r="A21" s="10" t="s">
        <v>9</v>
      </c>
      <c r="B21" s="21" t="n">
        <f aca="false">SUM(F14:F16)/$B$6</f>
        <v>0.751548901052144</v>
      </c>
    </row>
    <row r="22" customFormat="false" ht="15" hidden="false" customHeight="false" outlineLevel="0" collapsed="false">
      <c r="A22" s="10" t="s">
        <v>33</v>
      </c>
      <c r="B22" s="24" t="n">
        <f aca="false">B19/B20</f>
        <v>3.05621134302483</v>
      </c>
    </row>
    <row r="25" customFormat="false" ht="15" hidden="false" customHeight="false" outlineLevel="0" collapsed="false">
      <c r="A25" s="2" t="s">
        <v>12</v>
      </c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3" t="s">
        <v>18</v>
      </c>
      <c r="B26" s="15" t="n">
        <v>2</v>
      </c>
    </row>
    <row r="27" customFormat="false" ht="15" hidden="false" customHeight="false" outlineLevel="0" collapsed="false">
      <c r="A27" s="3" t="s">
        <v>19</v>
      </c>
      <c r="B27" s="15" t="n">
        <v>8</v>
      </c>
    </row>
    <row r="28" customFormat="false" ht="15" hidden="false" customHeight="false" outlineLevel="0" collapsed="false">
      <c r="A28" s="3" t="s">
        <v>20</v>
      </c>
      <c r="B28" s="15" t="n">
        <v>8</v>
      </c>
    </row>
    <row r="29" customFormat="false" ht="15" hidden="false" customHeight="false" outlineLevel="0" collapsed="false">
      <c r="A29" s="3" t="s">
        <v>21</v>
      </c>
      <c r="B29" s="15" t="n">
        <v>16</v>
      </c>
    </row>
    <row r="30" customFormat="false" ht="15" hidden="false" customHeight="false" outlineLevel="0" collapsed="false">
      <c r="A30" s="3" t="s">
        <v>22</v>
      </c>
      <c r="B30" s="3" t="n">
        <f aca="false">($B$28+$B$29)/2</f>
        <v>12</v>
      </c>
    </row>
    <row r="31" customFormat="false" ht="15" hidden="false" customHeight="false" outlineLevel="0" collapsed="false">
      <c r="A31" s="3" t="s">
        <v>23</v>
      </c>
      <c r="B31" s="16" t="n">
        <f aca="false">1/B30</f>
        <v>0.0833333333333333</v>
      </c>
    </row>
    <row r="33" customFormat="false" ht="26.85" hidden="false" customHeight="false" outlineLevel="0" collapsed="false">
      <c r="A33" s="17" t="s">
        <v>24</v>
      </c>
      <c r="B33" s="17" t="s">
        <v>25</v>
      </c>
      <c r="C33" s="17" t="s">
        <v>26</v>
      </c>
      <c r="D33" s="17" t="s">
        <v>27</v>
      </c>
      <c r="E33" s="17" t="s">
        <v>28</v>
      </c>
      <c r="F33" s="17" t="s">
        <v>29</v>
      </c>
    </row>
    <row r="34" customFormat="false" ht="15" hidden="false" customHeight="false" outlineLevel="0" collapsed="false">
      <c r="A34" s="3" t="n">
        <v>0</v>
      </c>
      <c r="B34" s="13" t="n">
        <v>9.36420842898593</v>
      </c>
      <c r="C34" s="18" t="n">
        <f aca="false">B34/SUM($B$34:$B$42)</f>
        <v>0.000136804221123244</v>
      </c>
      <c r="D34" s="3" t="n">
        <f aca="false">MIN(A34,$B$26)</f>
        <v>0</v>
      </c>
      <c r="E34" s="19" t="n">
        <f aca="false">A34*C34</f>
        <v>0</v>
      </c>
      <c r="F34" s="19" t="n">
        <f aca="false">D34*C34</f>
        <v>0</v>
      </c>
    </row>
    <row r="35" customFormat="false" ht="15" hidden="false" customHeight="false" outlineLevel="0" collapsed="false">
      <c r="A35" s="3" t="n">
        <v>1</v>
      </c>
      <c r="B35" s="13" t="n">
        <v>6.96672683451776</v>
      </c>
      <c r="C35" s="18" t="n">
        <f aca="false">B35/SUM($B$34:$B$42)</f>
        <v>0.000101778772397297</v>
      </c>
      <c r="D35" s="3" t="n">
        <f aca="false">MIN(A35,$B$26)</f>
        <v>1</v>
      </c>
      <c r="E35" s="19" t="n">
        <f aca="false">A35*C35</f>
        <v>0.000101778772397297</v>
      </c>
      <c r="F35" s="19" t="n">
        <f aca="false">D35*C35</f>
        <v>0.000101778772397297</v>
      </c>
    </row>
    <row r="36" customFormat="false" ht="15" hidden="false" customHeight="false" outlineLevel="0" collapsed="false">
      <c r="A36" s="3" t="n">
        <v>2</v>
      </c>
      <c r="B36" s="13" t="n">
        <v>11.475544017311</v>
      </c>
      <c r="C36" s="18" t="n">
        <f aca="false">B36/SUM($B$34:$B$42)</f>
        <v>0.000167649286446281</v>
      </c>
      <c r="D36" s="3" t="n">
        <f aca="false">MIN(A36,$B$26)</f>
        <v>2</v>
      </c>
      <c r="E36" s="19" t="n">
        <f aca="false">A36*C36</f>
        <v>0.000335298572892561</v>
      </c>
      <c r="F36" s="19" t="n">
        <f aca="false">D36*C36</f>
        <v>0.000335298572892561</v>
      </c>
    </row>
    <row r="37" customFormat="false" ht="15" hidden="false" customHeight="false" outlineLevel="0" collapsed="false">
      <c r="A37" s="3" t="n">
        <v>3</v>
      </c>
      <c r="B37" s="13" t="n">
        <v>66.0290406449248</v>
      </c>
      <c r="C37" s="18" t="n">
        <f aca="false">B37/SUM($B$34:$B$42)</f>
        <v>0.000964635884116279</v>
      </c>
      <c r="D37" s="3" t="n">
        <f aca="false">MIN(A37,$B$26)</f>
        <v>2</v>
      </c>
      <c r="E37" s="19" t="n">
        <f aca="false">A37*C37</f>
        <v>0.00289390765234884</v>
      </c>
      <c r="F37" s="19" t="n">
        <f aca="false">D37*C37</f>
        <v>0.00192927176823256</v>
      </c>
    </row>
    <row r="38" customFormat="false" ht="15" hidden="false" customHeight="false" outlineLevel="0" collapsed="false">
      <c r="A38" s="3" t="n">
        <v>4</v>
      </c>
      <c r="B38" s="13" t="n">
        <v>470.002037942753</v>
      </c>
      <c r="C38" s="18" t="n">
        <f aca="false">B38/SUM($B$34:$B$42)</f>
        <v>0.00686638525986533</v>
      </c>
      <c r="D38" s="3" t="n">
        <f aca="false">MIN(A38,$B$26)</f>
        <v>2</v>
      </c>
      <c r="E38" s="19" t="n">
        <f aca="false">A38*C38</f>
        <v>0.0274655410394613</v>
      </c>
      <c r="F38" s="19" t="n">
        <f aca="false">D38*C38</f>
        <v>0.0137327705197307</v>
      </c>
    </row>
    <row r="39" customFormat="false" ht="15" hidden="false" customHeight="false" outlineLevel="0" collapsed="false">
      <c r="A39" s="3" t="n">
        <v>5</v>
      </c>
      <c r="B39" s="13" t="n">
        <v>2165.50019429627</v>
      </c>
      <c r="C39" s="18" t="n">
        <f aca="false">B39/SUM($B$34:$B$42)</f>
        <v>0.0316363705132754</v>
      </c>
      <c r="D39" s="3" t="n">
        <f aca="false">MIN(A39,$B$26)</f>
        <v>2</v>
      </c>
      <c r="E39" s="19" t="n">
        <f aca="false">A39*C39</f>
        <v>0.158181852566377</v>
      </c>
      <c r="F39" s="19" t="n">
        <f aca="false">D39*C39</f>
        <v>0.0632727410265507</v>
      </c>
    </row>
    <row r="40" customFormat="false" ht="15" hidden="false" customHeight="false" outlineLevel="0" collapsed="false">
      <c r="A40" s="3" t="n">
        <v>6</v>
      </c>
      <c r="B40" s="13" t="n">
        <v>10955.1815227515</v>
      </c>
      <c r="C40" s="18" t="n">
        <f aca="false">B40/SUM($B$34:$B$42)</f>
        <v>0.160047171829779</v>
      </c>
      <c r="D40" s="3" t="n">
        <f aca="false">MIN(A40,$B$26)</f>
        <v>2</v>
      </c>
      <c r="E40" s="19" t="n">
        <f aca="false">A40*C40</f>
        <v>0.960283030978672</v>
      </c>
      <c r="F40" s="19" t="n">
        <f aca="false">D40*C40</f>
        <v>0.320094343659557</v>
      </c>
    </row>
    <row r="41" customFormat="false" ht="15" hidden="false" customHeight="false" outlineLevel="0" collapsed="false">
      <c r="A41" s="3" t="n">
        <v>7</v>
      </c>
      <c r="B41" s="13" t="n">
        <v>27968.6119533614</v>
      </c>
      <c r="C41" s="18" t="n">
        <f aca="false">B41/SUM($B$34:$B$42)</f>
        <v>0.40860091946845</v>
      </c>
      <c r="D41" s="3" t="n">
        <f aca="false">MIN(A41,$B$26)</f>
        <v>2</v>
      </c>
      <c r="E41" s="19" t="n">
        <f aca="false">A41*C41</f>
        <v>2.86020643627915</v>
      </c>
      <c r="F41" s="19" t="n">
        <f aca="false">D41*C41</f>
        <v>0.817201838936901</v>
      </c>
    </row>
    <row r="42" customFormat="false" ht="15" hidden="false" customHeight="false" outlineLevel="0" collapsed="false">
      <c r="A42" s="3" t="n">
        <v>8</v>
      </c>
      <c r="B42" s="13" t="n">
        <v>26796.5726777876</v>
      </c>
      <c r="C42" s="18" t="n">
        <f aca="false">B42/SUM($B$34:$B$42)</f>
        <v>0.391478284764547</v>
      </c>
      <c r="D42" s="3" t="n">
        <f aca="false">MIN(A42,$B$26)</f>
        <v>2</v>
      </c>
      <c r="E42" s="19" t="n">
        <f aca="false">A42*C42</f>
        <v>3.13182627811638</v>
      </c>
      <c r="F42" s="19" t="n">
        <f aca="false">D42*C42</f>
        <v>0.782956569529094</v>
      </c>
    </row>
    <row r="43" customFormat="false" ht="15" hidden="false" customHeight="false" outlineLevel="0" collapsed="false">
      <c r="A43" s="10" t="s">
        <v>30</v>
      </c>
      <c r="B43" s="20" t="n">
        <f aca="false">SUM(B34:B42)</f>
        <v>68449.7039060653</v>
      </c>
      <c r="C43" s="21" t="n">
        <f aca="false">SUM(C34:C42)</f>
        <v>1</v>
      </c>
    </row>
    <row r="44" customFormat="false" ht="15" hidden="false" customHeight="false" outlineLevel="0" collapsed="false">
      <c r="A44" s="10" t="s">
        <v>11</v>
      </c>
      <c r="B44" s="15" t="n">
        <v>4059</v>
      </c>
    </row>
    <row r="45" customFormat="false" ht="15" hidden="false" customHeight="false" outlineLevel="0" collapsed="false">
      <c r="A45" s="10" t="s">
        <v>31</v>
      </c>
      <c r="B45" s="22" t="n">
        <f aca="false">SUM(E34:E42)</f>
        <v>7.14129412397768</v>
      </c>
    </row>
    <row r="46" customFormat="false" ht="15" hidden="false" customHeight="false" outlineLevel="0" collapsed="false">
      <c r="A46" s="10" t="s">
        <v>32</v>
      </c>
      <c r="B46" s="23" t="n">
        <f aca="false">B31*SUM(F34:F42)</f>
        <v>0.16663538439878</v>
      </c>
    </row>
    <row r="47" customFormat="false" ht="15" hidden="false" customHeight="false" outlineLevel="0" collapsed="false">
      <c r="A47" s="10" t="s">
        <v>9</v>
      </c>
      <c r="B47" s="21" t="n">
        <f aca="false">SUM(F34:F42)/$B$26</f>
        <v>0.999812306392678</v>
      </c>
    </row>
    <row r="48" customFormat="false" ht="15" hidden="false" customHeight="false" outlineLevel="0" collapsed="false">
      <c r="A48" s="10" t="s">
        <v>33</v>
      </c>
      <c r="B48" s="24" t="n">
        <f aca="false">B45/B46</f>
        <v>42.8558085051591</v>
      </c>
    </row>
    <row r="51" customFormat="false" ht="15" hidden="false" customHeight="false" outlineLevel="0" collapsed="false">
      <c r="A51" s="2" t="s">
        <v>13</v>
      </c>
      <c r="B51" s="14"/>
      <c r="C51" s="14"/>
      <c r="D51" s="14"/>
      <c r="E51" s="14"/>
      <c r="F51" s="14"/>
      <c r="G51" s="14"/>
    </row>
    <row r="52" customFormat="false" ht="15" hidden="false" customHeight="false" outlineLevel="0" collapsed="false">
      <c r="A52" s="3" t="s">
        <v>18</v>
      </c>
      <c r="B52" s="15" t="n">
        <v>1</v>
      </c>
    </row>
    <row r="53" customFormat="false" ht="15" hidden="false" customHeight="false" outlineLevel="0" collapsed="false">
      <c r="A53" s="3" t="s">
        <v>19</v>
      </c>
      <c r="B53" s="15" t="n">
        <v>6</v>
      </c>
    </row>
    <row r="54" customFormat="false" ht="15" hidden="false" customHeight="false" outlineLevel="0" collapsed="false">
      <c r="A54" s="3" t="s">
        <v>20</v>
      </c>
      <c r="B54" s="15" t="n">
        <v>3</v>
      </c>
    </row>
    <row r="55" customFormat="false" ht="15" hidden="false" customHeight="false" outlineLevel="0" collapsed="false">
      <c r="A55" s="3" t="s">
        <v>21</v>
      </c>
      <c r="B55" s="15" t="n">
        <v>5</v>
      </c>
    </row>
    <row r="56" customFormat="false" ht="15" hidden="false" customHeight="false" outlineLevel="0" collapsed="false">
      <c r="A56" s="3" t="s">
        <v>22</v>
      </c>
      <c r="B56" s="3" t="n">
        <f aca="false">($B$54+$B$55)/2</f>
        <v>4</v>
      </c>
    </row>
    <row r="57" customFormat="false" ht="15" hidden="false" customHeight="false" outlineLevel="0" collapsed="false">
      <c r="A57" s="3" t="s">
        <v>23</v>
      </c>
      <c r="B57" s="16" t="n">
        <f aca="false">1/B56</f>
        <v>0.25</v>
      </c>
    </row>
    <row r="59" customFormat="false" ht="26.85" hidden="false" customHeight="false" outlineLevel="0" collapsed="false">
      <c r="A59" s="17" t="s">
        <v>24</v>
      </c>
      <c r="B59" s="17" t="s">
        <v>25</v>
      </c>
      <c r="C59" s="17" t="s">
        <v>26</v>
      </c>
      <c r="D59" s="17" t="s">
        <v>27</v>
      </c>
      <c r="E59" s="17" t="s">
        <v>28</v>
      </c>
      <c r="F59" s="17" t="s">
        <v>29</v>
      </c>
    </row>
    <row r="60" customFormat="false" ht="15" hidden="false" customHeight="false" outlineLevel="0" collapsed="false">
      <c r="A60" s="3" t="n">
        <v>0</v>
      </c>
      <c r="B60" s="13" t="n">
        <v>16920.6991049122</v>
      </c>
      <c r="C60" s="18" t="n">
        <f aca="false">B60/SUM($B$60:$B$66)</f>
        <v>0.247199010942878</v>
      </c>
      <c r="D60" s="3" t="n">
        <f aca="false">MIN(A60,$B$52)</f>
        <v>0</v>
      </c>
      <c r="E60" s="19" t="n">
        <f aca="false">A60*C60</f>
        <v>0</v>
      </c>
      <c r="F60" s="19" t="n">
        <f aca="false">D60*C60</f>
        <v>0</v>
      </c>
    </row>
    <row r="61" customFormat="false" ht="15" hidden="false" customHeight="false" outlineLevel="0" collapsed="false">
      <c r="A61" s="3" t="n">
        <v>1</v>
      </c>
      <c r="B61" s="13" t="n">
        <v>31484.0094594489</v>
      </c>
      <c r="C61" s="18" t="n">
        <f aca="false">B61/SUM($B$60:$B$66)</f>
        <v>0.459958300223693</v>
      </c>
      <c r="D61" s="3" t="n">
        <f aca="false">MIN(A61,$B$52)</f>
        <v>1</v>
      </c>
      <c r="E61" s="19" t="n">
        <f aca="false">A61*C61</f>
        <v>0.459958300223693</v>
      </c>
      <c r="F61" s="19" t="n">
        <f aca="false">D61*C61</f>
        <v>0.459958300223693</v>
      </c>
    </row>
    <row r="62" customFormat="false" ht="15" hidden="false" customHeight="false" outlineLevel="0" collapsed="false">
      <c r="A62" s="3" t="n">
        <v>2</v>
      </c>
      <c r="B62" s="13" t="n">
        <v>15891.1191765824</v>
      </c>
      <c r="C62" s="18" t="n">
        <f aca="false">B62/SUM($B$60:$B$66)</f>
        <v>0.232157602878605</v>
      </c>
      <c r="D62" s="3" t="n">
        <f aca="false">MIN(A62,$B$52)</f>
        <v>1</v>
      </c>
      <c r="E62" s="19" t="n">
        <f aca="false">A62*C62</f>
        <v>0.464315205757209</v>
      </c>
      <c r="F62" s="19" t="n">
        <f aca="false">D62*C62</f>
        <v>0.232157602878605</v>
      </c>
    </row>
    <row r="63" customFormat="false" ht="15" hidden="false" customHeight="false" outlineLevel="0" collapsed="false">
      <c r="A63" s="3" t="n">
        <v>3</v>
      </c>
      <c r="B63" s="13" t="n">
        <v>3547.74251996467</v>
      </c>
      <c r="C63" s="18" t="n">
        <f aca="false">B63/SUM($B$60:$B$66)</f>
        <v>0.0518299176988887</v>
      </c>
      <c r="D63" s="3" t="n">
        <f aca="false">MIN(A63,$B$52)</f>
        <v>1</v>
      </c>
      <c r="E63" s="19" t="n">
        <f aca="false">A63*C63</f>
        <v>0.155489753096666</v>
      </c>
      <c r="F63" s="19" t="n">
        <f aca="false">D63*C63</f>
        <v>0.0518299176988887</v>
      </c>
    </row>
    <row r="64" customFormat="false" ht="15" hidden="false" customHeight="false" outlineLevel="0" collapsed="false">
      <c r="A64" s="3" t="n">
        <v>4</v>
      </c>
      <c r="B64" s="13" t="n">
        <v>517.185711437777</v>
      </c>
      <c r="C64" s="18" t="n">
        <f aca="false">B64/SUM($B$60:$B$66)</f>
        <v>0.00755570414369536</v>
      </c>
      <c r="D64" s="3" t="n">
        <f aca="false">MIN(A64,$B$52)</f>
        <v>1</v>
      </c>
      <c r="E64" s="19" t="n">
        <f aca="false">A64*C64</f>
        <v>0.0302228165747814</v>
      </c>
      <c r="F64" s="19" t="n">
        <f aca="false">D64*C64</f>
        <v>0.00755570414369536</v>
      </c>
    </row>
    <row r="65" customFormat="false" ht="15" hidden="false" customHeight="false" outlineLevel="0" collapsed="false">
      <c r="A65" s="3" t="n">
        <v>5</v>
      </c>
      <c r="B65" s="13" t="n">
        <v>83.6064218710089</v>
      </c>
      <c r="C65" s="18" t="n">
        <f aca="false">B65/SUM($B$60:$B$66)</f>
        <v>0.00122142853949732</v>
      </c>
      <c r="D65" s="3" t="n">
        <f aca="false">MIN(A65,$B$52)</f>
        <v>1</v>
      </c>
      <c r="E65" s="19" t="n">
        <f aca="false">A65*C65</f>
        <v>0.00610714269748658</v>
      </c>
      <c r="F65" s="19" t="n">
        <f aca="false">D65*C65</f>
        <v>0.00122142853949732</v>
      </c>
    </row>
    <row r="66" customFormat="false" ht="15" hidden="false" customHeight="false" outlineLevel="0" collapsed="false">
      <c r="A66" s="3" t="n">
        <v>6</v>
      </c>
      <c r="B66" s="13" t="n">
        <v>5.34151184836082</v>
      </c>
      <c r="C66" s="18" t="n">
        <f aca="false">B66/SUM($B$60:$B$66)</f>
        <v>7.80355727424486E-005</v>
      </c>
      <c r="D66" s="3" t="n">
        <f aca="false">MIN(A66,$B$52)</f>
        <v>1</v>
      </c>
      <c r="E66" s="19" t="n">
        <f aca="false">A66*C66</f>
        <v>0.000468213436454692</v>
      </c>
      <c r="F66" s="19" t="n">
        <f aca="false">D66*C66</f>
        <v>7.80355727424486E-005</v>
      </c>
    </row>
    <row r="67" customFormat="false" ht="15" hidden="false" customHeight="false" outlineLevel="0" collapsed="false">
      <c r="A67" s="10" t="s">
        <v>30</v>
      </c>
      <c r="B67" s="20" t="n">
        <f aca="false">SUM(B60:B66)</f>
        <v>68449.7039060653</v>
      </c>
      <c r="C67" s="21" t="n">
        <f aca="false">SUM(C60:C66)</f>
        <v>1</v>
      </c>
    </row>
    <row r="68" customFormat="false" ht="15" hidden="false" customHeight="false" outlineLevel="0" collapsed="false">
      <c r="A68" s="10" t="s">
        <v>11</v>
      </c>
      <c r="B68" s="15" t="n">
        <v>0</v>
      </c>
    </row>
    <row r="69" customFormat="false" ht="15" hidden="false" customHeight="false" outlineLevel="0" collapsed="false">
      <c r="A69" s="10" t="s">
        <v>31</v>
      </c>
      <c r="B69" s="22" t="n">
        <f aca="false">SUM(E60:E66)</f>
        <v>1.11656143178629</v>
      </c>
    </row>
    <row r="70" customFormat="false" ht="15" hidden="false" customHeight="false" outlineLevel="0" collapsed="false">
      <c r="A70" s="10" t="s">
        <v>32</v>
      </c>
      <c r="B70" s="23" t="n">
        <f aca="false">B57*SUM(F60:F66)</f>
        <v>0.18820024726428</v>
      </c>
    </row>
    <row r="71" customFormat="false" ht="15" hidden="false" customHeight="false" outlineLevel="0" collapsed="false">
      <c r="A71" s="10" t="s">
        <v>9</v>
      </c>
      <c r="B71" s="21" t="n">
        <f aca="false">SUM(F60:F66)/$B$52</f>
        <v>0.752800989057122</v>
      </c>
    </row>
    <row r="72" customFormat="false" ht="15" hidden="false" customHeight="false" outlineLevel="0" collapsed="false">
      <c r="A72" s="10" t="s">
        <v>33</v>
      </c>
      <c r="B72" s="24" t="n">
        <f aca="false">B69/B70</f>
        <v>5.93283722001894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8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12" t="s">
        <v>17</v>
      </c>
    </row>
    <row r="3" customFormat="false" ht="15" hidden="false" customHeight="false" outlineLevel="0" collapsed="false">
      <c r="A3" s="10" t="s">
        <v>14</v>
      </c>
      <c r="B3" s="13" t="n">
        <v>58884.0257682844</v>
      </c>
    </row>
    <row r="5" customFormat="false" ht="15" hidden="false" customHeight="false" outlineLevel="0" collapsed="false">
      <c r="A5" s="2" t="s">
        <v>6</v>
      </c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3" t="s">
        <v>18</v>
      </c>
      <c r="B6" s="15" t="n">
        <v>1</v>
      </c>
    </row>
    <row r="7" customFormat="false" ht="15" hidden="false" customHeight="false" outlineLevel="0" collapsed="false">
      <c r="A7" s="3" t="s">
        <v>19</v>
      </c>
      <c r="B7" s="15" t="n">
        <v>10</v>
      </c>
    </row>
    <row r="8" customFormat="false" ht="15" hidden="false" customHeight="false" outlineLevel="0" collapsed="false">
      <c r="A8" s="3" t="s">
        <v>20</v>
      </c>
      <c r="B8" s="15" t="n">
        <v>2</v>
      </c>
    </row>
    <row r="9" customFormat="false" ht="15" hidden="false" customHeight="false" outlineLevel="0" collapsed="false">
      <c r="A9" s="3" t="s">
        <v>21</v>
      </c>
      <c r="B9" s="15" t="n">
        <v>4</v>
      </c>
    </row>
    <row r="10" customFormat="false" ht="15" hidden="false" customHeight="false" outlineLevel="0" collapsed="false">
      <c r="A10" s="3" t="s">
        <v>22</v>
      </c>
      <c r="B10" s="3" t="n">
        <f aca="false">($B$8+$B$9)/2</f>
        <v>3</v>
      </c>
    </row>
    <row r="11" customFormat="false" ht="15" hidden="false" customHeight="false" outlineLevel="0" collapsed="false">
      <c r="A11" s="3" t="s">
        <v>23</v>
      </c>
      <c r="B11" s="16" t="n">
        <f aca="false">1/B10</f>
        <v>0.333333333333333</v>
      </c>
    </row>
    <row r="13" customFormat="false" ht="26.85" hidden="false" customHeight="false" outlineLevel="0" collapsed="false">
      <c r="A13" s="17" t="s">
        <v>24</v>
      </c>
      <c r="B13" s="17" t="s">
        <v>25</v>
      </c>
      <c r="C13" s="17" t="s">
        <v>26</v>
      </c>
      <c r="D13" s="17" t="s">
        <v>27</v>
      </c>
      <c r="E13" s="17" t="s">
        <v>28</v>
      </c>
      <c r="F13" s="17" t="s">
        <v>29</v>
      </c>
    </row>
    <row r="14" customFormat="false" ht="15" hidden="false" customHeight="false" outlineLevel="0" collapsed="false">
      <c r="A14" s="3" t="n">
        <v>0</v>
      </c>
      <c r="B14" s="13" t="n">
        <v>14846.9445313986</v>
      </c>
      <c r="C14" s="18" t="n">
        <f aca="false">B14/SUM($B$14:$B$16)</f>
        <v>0.252138747948775</v>
      </c>
      <c r="D14" s="3" t="n">
        <f aca="false">MIN(A14,$B$6)</f>
        <v>0</v>
      </c>
      <c r="E14" s="19" t="n">
        <f aca="false">A14*C14</f>
        <v>0</v>
      </c>
      <c r="F14" s="19" t="n">
        <f aca="false">D14*C14</f>
        <v>0</v>
      </c>
    </row>
    <row r="15" customFormat="false" ht="15" hidden="false" customHeight="false" outlineLevel="0" collapsed="false">
      <c r="A15" s="3" t="n">
        <v>1</v>
      </c>
      <c r="B15" s="13" t="n">
        <v>43315.495010766</v>
      </c>
      <c r="C15" s="18" t="n">
        <f aca="false">B15/SUM($B$14:$B$16)</f>
        <v>0.7356068890605</v>
      </c>
      <c r="D15" s="3" t="n">
        <f aca="false">MIN(A15,$B$6)</f>
        <v>1</v>
      </c>
      <c r="E15" s="19" t="n">
        <f aca="false">A15*C15</f>
        <v>0.7356068890605</v>
      </c>
      <c r="F15" s="19" t="n">
        <f aca="false">D15*C15</f>
        <v>0.7356068890605</v>
      </c>
    </row>
    <row r="16" customFormat="false" ht="15" hidden="false" customHeight="false" outlineLevel="0" collapsed="false">
      <c r="A16" s="3" t="n">
        <v>2</v>
      </c>
      <c r="B16" s="13" t="n">
        <v>721.586226119782</v>
      </c>
      <c r="C16" s="18" t="n">
        <f aca="false">B16/SUM($B$14:$B$16)</f>
        <v>0.0122543629907253</v>
      </c>
      <c r="D16" s="3" t="n">
        <f aca="false">MIN(A16,$B$6)</f>
        <v>1</v>
      </c>
      <c r="E16" s="19" t="n">
        <f aca="false">A16*C16</f>
        <v>0.0245087259814507</v>
      </c>
      <c r="F16" s="19" t="n">
        <f aca="false">D16*C16</f>
        <v>0.0122543629907253</v>
      </c>
    </row>
    <row r="17" customFormat="false" ht="15" hidden="false" customHeight="false" outlineLevel="0" collapsed="false">
      <c r="A17" s="10" t="s">
        <v>30</v>
      </c>
      <c r="B17" s="20" t="n">
        <f aca="false">SUM(B14:B16)</f>
        <v>58884.0257682844</v>
      </c>
      <c r="C17" s="21" t="n">
        <f aca="false">SUM(C14:C16)</f>
        <v>1</v>
      </c>
    </row>
    <row r="18" customFormat="false" ht="15" hidden="false" customHeight="false" outlineLevel="0" collapsed="false">
      <c r="A18" s="10" t="s">
        <v>11</v>
      </c>
      <c r="B18" s="15" t="n">
        <v>0</v>
      </c>
    </row>
    <row r="19" customFormat="false" ht="15" hidden="false" customHeight="false" outlineLevel="0" collapsed="false">
      <c r="A19" s="10" t="s">
        <v>31</v>
      </c>
      <c r="B19" s="22" t="n">
        <f aca="false">SUM(E14:E16)</f>
        <v>0.760115615041951</v>
      </c>
    </row>
    <row r="20" customFormat="false" ht="15" hidden="false" customHeight="false" outlineLevel="0" collapsed="false">
      <c r="A20" s="10" t="s">
        <v>32</v>
      </c>
      <c r="B20" s="23" t="n">
        <f aca="false">B11*SUM(F14:F16)</f>
        <v>0.249287084017075</v>
      </c>
    </row>
    <row r="21" customFormat="false" ht="15" hidden="false" customHeight="false" outlineLevel="0" collapsed="false">
      <c r="A21" s="10" t="s">
        <v>9</v>
      </c>
      <c r="B21" s="21" t="n">
        <f aca="false">SUM(F14:F16)/$B$6</f>
        <v>0.747861252051226</v>
      </c>
    </row>
    <row r="22" customFormat="false" ht="15" hidden="false" customHeight="false" outlineLevel="0" collapsed="false">
      <c r="A22" s="10" t="s">
        <v>33</v>
      </c>
      <c r="B22" s="24" t="n">
        <f aca="false">B19/B20</f>
        <v>3.04915763301193</v>
      </c>
    </row>
    <row r="25" customFormat="false" ht="15" hidden="false" customHeight="false" outlineLevel="0" collapsed="false">
      <c r="A25" s="2" t="s">
        <v>12</v>
      </c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3" t="s">
        <v>18</v>
      </c>
      <c r="B26" s="15" t="n">
        <v>3</v>
      </c>
    </row>
    <row r="27" customFormat="false" ht="15" hidden="false" customHeight="false" outlineLevel="0" collapsed="false">
      <c r="A27" s="3" t="s">
        <v>19</v>
      </c>
      <c r="B27" s="15" t="n">
        <v>10</v>
      </c>
    </row>
    <row r="28" customFormat="false" ht="15" hidden="false" customHeight="false" outlineLevel="0" collapsed="false">
      <c r="A28" s="3" t="s">
        <v>20</v>
      </c>
      <c r="B28" s="15" t="n">
        <v>8</v>
      </c>
    </row>
    <row r="29" customFormat="false" ht="15" hidden="false" customHeight="false" outlineLevel="0" collapsed="false">
      <c r="A29" s="3" t="s">
        <v>21</v>
      </c>
      <c r="B29" s="15" t="n">
        <v>16</v>
      </c>
    </row>
    <row r="30" customFormat="false" ht="15" hidden="false" customHeight="false" outlineLevel="0" collapsed="false">
      <c r="A30" s="3" t="s">
        <v>22</v>
      </c>
      <c r="B30" s="3" t="n">
        <f aca="false">($B$28+$B$29)/2</f>
        <v>12</v>
      </c>
    </row>
    <row r="31" customFormat="false" ht="15" hidden="false" customHeight="false" outlineLevel="0" collapsed="false">
      <c r="A31" s="3" t="s">
        <v>23</v>
      </c>
      <c r="B31" s="16" t="n">
        <f aca="false">1/B30</f>
        <v>0.0833333333333333</v>
      </c>
    </row>
    <row r="33" customFormat="false" ht="26.85" hidden="false" customHeight="false" outlineLevel="0" collapsed="false">
      <c r="A33" s="17" t="s">
        <v>24</v>
      </c>
      <c r="B33" s="17" t="s">
        <v>25</v>
      </c>
      <c r="C33" s="17" t="s">
        <v>26</v>
      </c>
      <c r="D33" s="17" t="s">
        <v>27</v>
      </c>
      <c r="E33" s="17" t="s">
        <v>28</v>
      </c>
      <c r="F33" s="17" t="s">
        <v>29</v>
      </c>
    </row>
    <row r="34" customFormat="false" ht="15" hidden="false" customHeight="false" outlineLevel="0" collapsed="false">
      <c r="A34" s="3" t="n">
        <v>0</v>
      </c>
      <c r="B34" s="13" t="n">
        <v>299.244264096585</v>
      </c>
      <c r="C34" s="18" t="n">
        <f aca="false">B34/SUM($B$34:$B$44)</f>
        <v>0.00508192604347649</v>
      </c>
      <c r="D34" s="3" t="n">
        <f aca="false">MIN(A34,$B$26)</f>
        <v>0</v>
      </c>
      <c r="E34" s="19" t="n">
        <f aca="false">A34*C34</f>
        <v>0</v>
      </c>
      <c r="F34" s="19" t="n">
        <f aca="false">D34*C34</f>
        <v>0</v>
      </c>
    </row>
    <row r="35" customFormat="false" ht="15" hidden="false" customHeight="false" outlineLevel="0" collapsed="false">
      <c r="A35" s="3" t="n">
        <v>1</v>
      </c>
      <c r="B35" s="13" t="n">
        <v>2222.89077641079</v>
      </c>
      <c r="C35" s="18" t="n">
        <f aca="false">B35/SUM($B$34:$B$44)</f>
        <v>0.0377503193337719</v>
      </c>
      <c r="D35" s="3" t="n">
        <f aca="false">MIN(A35,$B$26)</f>
        <v>1</v>
      </c>
      <c r="E35" s="19" t="n">
        <f aca="false">A35*C35</f>
        <v>0.0377503193337719</v>
      </c>
      <c r="F35" s="19" t="n">
        <f aca="false">D35*C35</f>
        <v>0.0377503193337719</v>
      </c>
    </row>
    <row r="36" customFormat="false" ht="15" hidden="false" customHeight="false" outlineLevel="0" collapsed="false">
      <c r="A36" s="3" t="n">
        <v>2</v>
      </c>
      <c r="B36" s="13" t="n">
        <v>6923.11737031635</v>
      </c>
      <c r="C36" s="18" t="n">
        <f aca="false">B36/SUM($B$34:$B$44)</f>
        <v>0.117572079693729</v>
      </c>
      <c r="D36" s="3" t="n">
        <f aca="false">MIN(A36,$B$26)</f>
        <v>2</v>
      </c>
      <c r="E36" s="19" t="n">
        <f aca="false">A36*C36</f>
        <v>0.235144159387459</v>
      </c>
      <c r="F36" s="19" t="n">
        <f aca="false">D36*C36</f>
        <v>0.235144159387459</v>
      </c>
    </row>
    <row r="37" customFormat="false" ht="15" hidden="false" customHeight="false" outlineLevel="0" collapsed="false">
      <c r="A37" s="3" t="n">
        <v>3</v>
      </c>
      <c r="B37" s="13" t="n">
        <v>11120.1402503851</v>
      </c>
      <c r="C37" s="18" t="n">
        <f aca="false">B37/SUM($B$34:$B$44)</f>
        <v>0.188848165615309</v>
      </c>
      <c r="D37" s="3" t="n">
        <f aca="false">MIN(A37,$B$26)</f>
        <v>3</v>
      </c>
      <c r="E37" s="19" t="n">
        <f aca="false">A37*C37</f>
        <v>0.566544496845926</v>
      </c>
      <c r="F37" s="19" t="n">
        <f aca="false">D37*C37</f>
        <v>0.566544496845926</v>
      </c>
    </row>
    <row r="38" customFormat="false" ht="15" hidden="false" customHeight="false" outlineLevel="0" collapsed="false">
      <c r="A38" s="3" t="n">
        <v>4</v>
      </c>
      <c r="B38" s="13" t="n">
        <v>10747.9046875022</v>
      </c>
      <c r="C38" s="18" t="n">
        <f aca="false">B38/SUM($B$34:$B$44)</f>
        <v>0.182526662320889</v>
      </c>
      <c r="D38" s="3" t="n">
        <f aca="false">MIN(A38,$B$26)</f>
        <v>3</v>
      </c>
      <c r="E38" s="19" t="n">
        <f aca="false">A38*C38</f>
        <v>0.730106649283556</v>
      </c>
      <c r="F38" s="19" t="n">
        <f aca="false">D38*C38</f>
        <v>0.547579986962667</v>
      </c>
    </row>
    <row r="39" customFormat="false" ht="15" hidden="false" customHeight="false" outlineLevel="0" collapsed="false">
      <c r="A39" s="3" t="n">
        <v>5</v>
      </c>
      <c r="B39" s="13" t="n">
        <v>8581.9883388782</v>
      </c>
      <c r="C39" s="18" t="n">
        <f aca="false">B39/SUM($B$34:$B$44)</f>
        <v>0.145743913173487</v>
      </c>
      <c r="D39" s="3" t="n">
        <f aca="false">MIN(A39,$B$26)</f>
        <v>3</v>
      </c>
      <c r="E39" s="19" t="n">
        <f aca="false">A39*C39</f>
        <v>0.728719565867434</v>
      </c>
      <c r="F39" s="19" t="n">
        <f aca="false">D39*C39</f>
        <v>0.43723173952046</v>
      </c>
    </row>
    <row r="40" customFormat="false" ht="15" hidden="false" customHeight="false" outlineLevel="0" collapsed="false">
      <c r="A40" s="3" t="n">
        <v>6</v>
      </c>
      <c r="B40" s="13" t="n">
        <v>6581.82364063629</v>
      </c>
      <c r="C40" s="18" t="n">
        <f aca="false">B40/SUM($B$34:$B$44)</f>
        <v>0.111776047149638</v>
      </c>
      <c r="D40" s="3" t="n">
        <f aca="false">MIN(A40,$B$26)</f>
        <v>3</v>
      </c>
      <c r="E40" s="19" t="n">
        <f aca="false">A40*C40</f>
        <v>0.670656282897831</v>
      </c>
      <c r="F40" s="19" t="n">
        <f aca="false">D40*C40</f>
        <v>0.335328141448915</v>
      </c>
    </row>
    <row r="41" customFormat="false" ht="15" hidden="false" customHeight="false" outlineLevel="0" collapsed="false">
      <c r="A41" s="3" t="n">
        <v>7</v>
      </c>
      <c r="B41" s="13" t="n">
        <v>5197.762794825</v>
      </c>
      <c r="C41" s="18" t="n">
        <f aca="false">B41/SUM($B$34:$B$44)</f>
        <v>0.0882711860646012</v>
      </c>
      <c r="D41" s="3" t="n">
        <f aca="false">MIN(A41,$B$26)</f>
        <v>3</v>
      </c>
      <c r="E41" s="19" t="n">
        <f aca="false">A41*C41</f>
        <v>0.617898302452208</v>
      </c>
      <c r="F41" s="19" t="n">
        <f aca="false">D41*C41</f>
        <v>0.264813558193804</v>
      </c>
    </row>
    <row r="42" customFormat="false" ht="15" hidden="false" customHeight="false" outlineLevel="0" collapsed="false">
      <c r="A42" s="3" t="n">
        <v>8</v>
      </c>
      <c r="B42" s="13" t="n">
        <v>3826.06261596396</v>
      </c>
      <c r="C42" s="18" t="n">
        <f aca="false">B42/SUM($B$34:$B$44)</f>
        <v>0.0649762404326763</v>
      </c>
      <c r="D42" s="3" t="n">
        <f aca="false">MIN(A42,$B$26)</f>
        <v>3</v>
      </c>
      <c r="E42" s="19" t="n">
        <f aca="false">A42*C42</f>
        <v>0.51980992346141</v>
      </c>
      <c r="F42" s="19" t="n">
        <f aca="false">D42*C42</f>
        <v>0.194928721298029</v>
      </c>
    </row>
    <row r="43" customFormat="false" ht="15" hidden="false" customHeight="false" outlineLevel="0" collapsed="false">
      <c r="A43" s="3" t="n">
        <v>9</v>
      </c>
      <c r="B43" s="13" t="n">
        <v>2407.0929054056</v>
      </c>
      <c r="C43" s="18" t="n">
        <f aca="false">B43/SUM($B$34:$B$44)</f>
        <v>0.0408785383471876</v>
      </c>
      <c r="D43" s="3" t="n">
        <f aca="false">MIN(A43,$B$26)</f>
        <v>3</v>
      </c>
      <c r="E43" s="19" t="n">
        <f aca="false">A43*C43</f>
        <v>0.367906845124688</v>
      </c>
      <c r="F43" s="19" t="n">
        <f aca="false">D43*C43</f>
        <v>0.122635615041563</v>
      </c>
    </row>
    <row r="44" customFormat="false" ht="15" hidden="false" customHeight="false" outlineLevel="0" collapsed="false">
      <c r="A44" s="3" t="n">
        <v>10</v>
      </c>
      <c r="B44" s="13" t="n">
        <v>975.998123864388</v>
      </c>
      <c r="C44" s="18" t="n">
        <f aca="false">B44/SUM($B$34:$B$44)</f>
        <v>0.0165749218252342</v>
      </c>
      <c r="D44" s="3" t="n">
        <f aca="false">MIN(A44,$B$26)</f>
        <v>3</v>
      </c>
      <c r="E44" s="19" t="n">
        <f aca="false">A44*C44</f>
        <v>0.165749218252342</v>
      </c>
      <c r="F44" s="19" t="n">
        <f aca="false">D44*C44</f>
        <v>0.0497247654757025</v>
      </c>
    </row>
    <row r="45" customFormat="false" ht="15" hidden="false" customHeight="false" outlineLevel="0" collapsed="false">
      <c r="A45" s="10" t="s">
        <v>30</v>
      </c>
      <c r="B45" s="20" t="n">
        <f aca="false">SUM(B34:B44)</f>
        <v>58884.0257682844</v>
      </c>
      <c r="C45" s="21" t="n">
        <f aca="false">SUM(C34:C44)</f>
        <v>1</v>
      </c>
    </row>
    <row r="46" customFormat="false" ht="15" hidden="false" customHeight="false" outlineLevel="0" collapsed="false">
      <c r="A46" s="10" t="s">
        <v>11</v>
      </c>
      <c r="B46" s="15" t="n">
        <v>121</v>
      </c>
    </row>
    <row r="47" customFormat="false" ht="15" hidden="false" customHeight="false" outlineLevel="0" collapsed="false">
      <c r="A47" s="10" t="s">
        <v>31</v>
      </c>
      <c r="B47" s="22" t="n">
        <f aca="false">SUM(E34:E44)</f>
        <v>4.64028576290663</v>
      </c>
    </row>
    <row r="48" customFormat="false" ht="15" hidden="false" customHeight="false" outlineLevel="0" collapsed="false">
      <c r="A48" s="10" t="s">
        <v>32</v>
      </c>
      <c r="B48" s="23" t="n">
        <f aca="false">B31*SUM(F34:F44)</f>
        <v>0.232640125292358</v>
      </c>
    </row>
    <row r="49" customFormat="false" ht="15" hidden="false" customHeight="false" outlineLevel="0" collapsed="false">
      <c r="A49" s="10" t="s">
        <v>9</v>
      </c>
      <c r="B49" s="21" t="n">
        <f aca="false">SUM(F34:F44)/$B$26</f>
        <v>0.930560501169432</v>
      </c>
    </row>
    <row r="50" customFormat="false" ht="15" hidden="false" customHeight="false" outlineLevel="0" collapsed="false">
      <c r="A50" s="10" t="s">
        <v>33</v>
      </c>
      <c r="B50" s="24" t="n">
        <f aca="false">B47/B48</f>
        <v>19.946196973008</v>
      </c>
    </row>
    <row r="53" customFormat="false" ht="15" hidden="false" customHeight="false" outlineLevel="0" collapsed="false">
      <c r="A53" s="2" t="s">
        <v>13</v>
      </c>
      <c r="B53" s="14"/>
      <c r="C53" s="14"/>
      <c r="D53" s="14"/>
      <c r="E53" s="14"/>
      <c r="F53" s="14"/>
      <c r="G53" s="14"/>
    </row>
    <row r="54" customFormat="false" ht="15" hidden="false" customHeight="false" outlineLevel="0" collapsed="false">
      <c r="A54" s="3" t="s">
        <v>18</v>
      </c>
      <c r="B54" s="15" t="n">
        <v>1</v>
      </c>
    </row>
    <row r="55" customFormat="false" ht="15" hidden="false" customHeight="false" outlineLevel="0" collapsed="false">
      <c r="A55" s="3" t="s">
        <v>19</v>
      </c>
      <c r="B55" s="15" t="n">
        <v>6</v>
      </c>
    </row>
    <row r="56" customFormat="false" ht="15" hidden="false" customHeight="false" outlineLevel="0" collapsed="false">
      <c r="A56" s="3" t="s">
        <v>20</v>
      </c>
      <c r="B56" s="15" t="n">
        <v>3</v>
      </c>
    </row>
    <row r="57" customFormat="false" ht="15" hidden="false" customHeight="false" outlineLevel="0" collapsed="false">
      <c r="A57" s="3" t="s">
        <v>21</v>
      </c>
      <c r="B57" s="15" t="n">
        <v>5</v>
      </c>
    </row>
    <row r="58" customFormat="false" ht="15" hidden="false" customHeight="false" outlineLevel="0" collapsed="false">
      <c r="A58" s="3" t="s">
        <v>22</v>
      </c>
      <c r="B58" s="3" t="n">
        <f aca="false">($B$56+$B$57)/2</f>
        <v>4</v>
      </c>
    </row>
    <row r="59" customFormat="false" ht="15" hidden="false" customHeight="false" outlineLevel="0" collapsed="false">
      <c r="A59" s="3" t="s">
        <v>23</v>
      </c>
      <c r="B59" s="16" t="n">
        <f aca="false">1/B58</f>
        <v>0.25</v>
      </c>
    </row>
    <row r="61" customFormat="false" ht="26.85" hidden="false" customHeight="false" outlineLevel="0" collapsed="false">
      <c r="A61" s="17" t="s">
        <v>24</v>
      </c>
      <c r="B61" s="17" t="s">
        <v>25</v>
      </c>
      <c r="C61" s="17" t="s">
        <v>26</v>
      </c>
      <c r="D61" s="17" t="s">
        <v>27</v>
      </c>
      <c r="E61" s="17" t="s">
        <v>28</v>
      </c>
      <c r="F61" s="17" t="s">
        <v>29</v>
      </c>
    </row>
    <row r="62" customFormat="false" ht="15" hidden="false" customHeight="false" outlineLevel="0" collapsed="false">
      <c r="A62" s="3" t="n">
        <v>0</v>
      </c>
      <c r="B62" s="13" t="n">
        <v>2186.9568247798</v>
      </c>
      <c r="C62" s="18" t="n">
        <f aca="false">B62/SUM($B$62:$B$68)</f>
        <v>0.0371400697599334</v>
      </c>
      <c r="D62" s="3" t="n">
        <f aca="false">MIN(A62,$B$54)</f>
        <v>0</v>
      </c>
      <c r="E62" s="19" t="n">
        <f aca="false">A62*C62</f>
        <v>0</v>
      </c>
      <c r="F62" s="19" t="n">
        <f aca="false">D62*C62</f>
        <v>0</v>
      </c>
    </row>
    <row r="63" customFormat="false" ht="15" hidden="false" customHeight="false" outlineLevel="0" collapsed="false">
      <c r="A63" s="3" t="n">
        <v>1</v>
      </c>
      <c r="B63" s="13" t="n">
        <v>8088.29124171654</v>
      </c>
      <c r="C63" s="18" t="n">
        <f aca="false">B63/SUM($B$62:$B$68)</f>
        <v>0.137359685180917</v>
      </c>
      <c r="D63" s="3" t="n">
        <f aca="false">MIN(A63,$B$54)</f>
        <v>1</v>
      </c>
      <c r="E63" s="19" t="n">
        <f aca="false">A63*C63</f>
        <v>0.137359685180917</v>
      </c>
      <c r="F63" s="19" t="n">
        <f aca="false">D63*C63</f>
        <v>0.137359685180917</v>
      </c>
    </row>
    <row r="64" customFormat="false" ht="15" hidden="false" customHeight="false" outlineLevel="0" collapsed="false">
      <c r="A64" s="3" t="n">
        <v>2</v>
      </c>
      <c r="B64" s="13" t="n">
        <v>12648.2476749626</v>
      </c>
      <c r="C64" s="18" t="n">
        <f aca="false">B64/SUM($B$62:$B$68)</f>
        <v>0.21479930269603</v>
      </c>
      <c r="D64" s="3" t="n">
        <f aca="false">MIN(A64,$B$54)</f>
        <v>1</v>
      </c>
      <c r="E64" s="19" t="n">
        <f aca="false">A64*C64</f>
        <v>0.429598605392061</v>
      </c>
      <c r="F64" s="19" t="n">
        <f aca="false">D64*C64</f>
        <v>0.21479930269603</v>
      </c>
    </row>
    <row r="65" customFormat="false" ht="15" hidden="false" customHeight="false" outlineLevel="0" collapsed="false">
      <c r="A65" s="3" t="n">
        <v>3</v>
      </c>
      <c r="B65" s="13" t="n">
        <v>13090.257572292</v>
      </c>
      <c r="C65" s="18" t="n">
        <f aca="false">B65/SUM($B$62:$B$68)</f>
        <v>0.222305751033459</v>
      </c>
      <c r="D65" s="3" t="n">
        <f aca="false">MIN(A65,$B$54)</f>
        <v>1</v>
      </c>
      <c r="E65" s="19" t="n">
        <f aca="false">A65*C65</f>
        <v>0.666917253100376</v>
      </c>
      <c r="F65" s="19" t="n">
        <f aca="false">D65*C65</f>
        <v>0.222305751033459</v>
      </c>
    </row>
    <row r="66" customFormat="false" ht="15" hidden="false" customHeight="false" outlineLevel="0" collapsed="false">
      <c r="A66" s="3" t="n">
        <v>4</v>
      </c>
      <c r="B66" s="13" t="n">
        <v>11474.9657546105</v>
      </c>
      <c r="C66" s="18" t="n">
        <f aca="false">B66/SUM($B$62:$B$68)</f>
        <v>0.194874001987667</v>
      </c>
      <c r="D66" s="3" t="n">
        <f aca="false">MIN(A66,$B$54)</f>
        <v>1</v>
      </c>
      <c r="E66" s="19" t="n">
        <f aca="false">A66*C66</f>
        <v>0.779496007950669</v>
      </c>
      <c r="F66" s="19" t="n">
        <f aca="false">D66*C66</f>
        <v>0.194874001987667</v>
      </c>
    </row>
    <row r="67" customFormat="false" ht="15" hidden="false" customHeight="false" outlineLevel="0" collapsed="false">
      <c r="A67" s="3" t="n">
        <v>5</v>
      </c>
      <c r="B67" s="13" t="n">
        <v>8566.34073046826</v>
      </c>
      <c r="C67" s="18" t="n">
        <f aca="false">B67/SUM($B$62:$B$68)</f>
        <v>0.145478177123586</v>
      </c>
      <c r="D67" s="3" t="n">
        <f aca="false">MIN(A67,$B$54)</f>
        <v>1</v>
      </c>
      <c r="E67" s="19" t="n">
        <f aca="false">A67*C67</f>
        <v>0.727390885617928</v>
      </c>
      <c r="F67" s="19" t="n">
        <f aca="false">D67*C67</f>
        <v>0.145478177123586</v>
      </c>
    </row>
    <row r="68" customFormat="false" ht="15" hidden="false" customHeight="false" outlineLevel="0" collapsed="false">
      <c r="A68" s="3" t="n">
        <v>6</v>
      </c>
      <c r="B68" s="13" t="n">
        <v>2828.96596945475</v>
      </c>
      <c r="C68" s="18" t="n">
        <f aca="false">B68/SUM($B$62:$B$68)</f>
        <v>0.0480430122184081</v>
      </c>
      <c r="D68" s="3" t="n">
        <f aca="false">MIN(A68,$B$54)</f>
        <v>1</v>
      </c>
      <c r="E68" s="19" t="n">
        <f aca="false">A68*C68</f>
        <v>0.288258073310449</v>
      </c>
      <c r="F68" s="19" t="n">
        <f aca="false">D68*C68</f>
        <v>0.0480430122184081</v>
      </c>
    </row>
    <row r="69" customFormat="false" ht="15" hidden="false" customHeight="false" outlineLevel="0" collapsed="false">
      <c r="A69" s="10" t="s">
        <v>30</v>
      </c>
      <c r="B69" s="20" t="n">
        <f aca="false">SUM(B62:B68)</f>
        <v>58884.0257682844</v>
      </c>
      <c r="C69" s="21" t="n">
        <f aca="false">SUM(C62:C68)</f>
        <v>1</v>
      </c>
    </row>
    <row r="70" customFormat="false" ht="15" hidden="false" customHeight="false" outlineLevel="0" collapsed="false">
      <c r="A70" s="10" t="s">
        <v>11</v>
      </c>
      <c r="B70" s="15" t="n">
        <v>331</v>
      </c>
    </row>
    <row r="71" customFormat="false" ht="15" hidden="false" customHeight="false" outlineLevel="0" collapsed="false">
      <c r="A71" s="10" t="s">
        <v>31</v>
      </c>
      <c r="B71" s="22" t="n">
        <f aca="false">SUM(E62:E68)</f>
        <v>3.0290205105524</v>
      </c>
    </row>
    <row r="72" customFormat="false" ht="15" hidden="false" customHeight="false" outlineLevel="0" collapsed="false">
      <c r="A72" s="10" t="s">
        <v>32</v>
      </c>
      <c r="B72" s="23" t="n">
        <f aca="false">B59*SUM(F62:F68)</f>
        <v>0.240714982560017</v>
      </c>
    </row>
    <row r="73" customFormat="false" ht="15" hidden="false" customHeight="false" outlineLevel="0" collapsed="false">
      <c r="A73" s="10" t="s">
        <v>9</v>
      </c>
      <c r="B73" s="21" t="n">
        <f aca="false">SUM(F62:F68)/$B$54</f>
        <v>0.962859930240067</v>
      </c>
    </row>
    <row r="74" customFormat="false" ht="15" hidden="false" customHeight="false" outlineLevel="0" collapsed="false">
      <c r="A74" s="10" t="s">
        <v>33</v>
      </c>
      <c r="B74" s="24" t="n">
        <f aca="false">B71/B72</f>
        <v>12.5834315684824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2026-10-14T02:04:37Z</dcterms:created>
  <dc:creator>openpyxl</dc:creator>
  <dc:description/>
  <dc:language>en-US</dc:language>
  <cp:lastModifiedBy/>
  <dcterms:modified xsi:type="dcterms:W3CDTF">2026-10-14T02:04:37Z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